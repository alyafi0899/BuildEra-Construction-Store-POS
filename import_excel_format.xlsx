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construction_pos\Construction Store Pos\"/>
    </mc:Choice>
  </mc:AlternateContent>
  <xr:revisionPtr revIDLastSave="0" documentId="13_ncr:1_{6551E75C-9889-48A4-9443-579E5E6BDA62}" xr6:coauthVersionLast="47" xr6:coauthVersionMax="47" xr10:uidLastSave="{00000000-0000-0000-0000-000000000000}"/>
  <bookViews>
    <workbookView xWindow="-105" yWindow="0" windowWidth="14610" windowHeight="15585" xr2:uid="{E137BB71-BA67-4820-88D3-CB12235208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1" l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28" i="1"/>
  <c r="F16" i="1"/>
  <c r="F17" i="1"/>
  <c r="F18" i="1"/>
  <c r="F19" i="1"/>
  <c r="F20" i="1"/>
  <c r="F21" i="1"/>
  <c r="F22" i="1"/>
  <c r="F23" i="1"/>
  <c r="F24" i="1"/>
  <c r="F25" i="1"/>
  <c r="F26" i="1"/>
  <c r="F27" i="1"/>
  <c r="F15" i="1"/>
</calcChain>
</file>

<file path=xl/sharedStrings.xml><?xml version="1.0" encoding="utf-8"?>
<sst xmlns="http://schemas.openxmlformats.org/spreadsheetml/2006/main" count="278" uniqueCount="148">
  <si>
    <t>Ayam</t>
  </si>
  <si>
    <t>kg</t>
  </si>
  <si>
    <t>bebek</t>
  </si>
  <si>
    <t>Alat Tangan</t>
  </si>
  <si>
    <t>Pipa &amp; Fitting</t>
  </si>
  <si>
    <t>box</t>
  </si>
  <si>
    <t>Cat Pilok ARTIC Spray Paint</t>
  </si>
  <si>
    <t>Cat Pilok Raptor Spray Paint</t>
  </si>
  <si>
    <t>Meteran Gulung Malvin 50m</t>
  </si>
  <si>
    <t>Colokan UTICON ST-118 1 Lubang</t>
  </si>
  <si>
    <t>Colokan UTICON ST-128 2 Lubang</t>
  </si>
  <si>
    <t>Colokan UTICON ST-138 3 Lubang</t>
  </si>
  <si>
    <t>Colokan UTICON ST-138 4 Lubang</t>
  </si>
  <si>
    <t>MCB Hannoch 2A</t>
  </si>
  <si>
    <t>Gagang Kunci Pintu Boston Lexus BST</t>
  </si>
  <si>
    <t>Gagang Kunci Pintu Boston Hummer BSB</t>
  </si>
  <si>
    <t>Plastic Switch Box 1 Gang Panasonic WVJ 591 K-N</t>
  </si>
  <si>
    <t>8994724798409</t>
  </si>
  <si>
    <t>8998926818934</t>
  </si>
  <si>
    <t>8998065723052</t>
  </si>
  <si>
    <t>8995722168126</t>
  </si>
  <si>
    <t>8993312335392</t>
  </si>
  <si>
    <t>8997648360622</t>
  </si>
  <si>
    <t>8999759363103</t>
  </si>
  <si>
    <t>8993703771815</t>
  </si>
  <si>
    <t>8991374250783</t>
  </si>
  <si>
    <t>8991835940567</t>
  </si>
  <si>
    <t>8994199142936</t>
  </si>
  <si>
    <t>Cat &amp; Pelapis</t>
  </si>
  <si>
    <t>pcs</t>
  </si>
  <si>
    <t>Alat Listrik</t>
  </si>
  <si>
    <t>Lainnya</t>
  </si>
  <si>
    <t>Triplek BB Polos 18 Inch</t>
  </si>
  <si>
    <t>Triplek BB Sending 2 sisi 18 Inch</t>
  </si>
  <si>
    <t>Triplek BB Sending 1 Sisi 18 Inch</t>
  </si>
  <si>
    <t>Triplek 12mm</t>
  </si>
  <si>
    <t>Triplek 8mm</t>
  </si>
  <si>
    <t>Triplek 4mm</t>
  </si>
  <si>
    <t>Triplek 3mm</t>
  </si>
  <si>
    <t>Triplek MIKA 3mm Cap Panda</t>
  </si>
  <si>
    <t>Triplek MIKA 3mm Biasa</t>
  </si>
  <si>
    <t>Dexicon Connector Kedap Air</t>
  </si>
  <si>
    <t>Gerobak Sorong Carld Schlieper</t>
  </si>
  <si>
    <t>MCB Hannoch 4A</t>
  </si>
  <si>
    <t>Presto Fuse Box 7204</t>
  </si>
  <si>
    <t>Dexicon 2 Distribution Box IB/OB no Thermal</t>
  </si>
  <si>
    <t>8998374807825</t>
  </si>
  <si>
    <t>8997191835202</t>
  </si>
  <si>
    <t>8993057969326</t>
  </si>
  <si>
    <t>8996246917979</t>
  </si>
  <si>
    <t>8993262779857</t>
  </si>
  <si>
    <t>8992737739570</t>
  </si>
  <si>
    <t>8993834059462</t>
  </si>
  <si>
    <t>8997302038911</t>
  </si>
  <si>
    <t>8992890231560</t>
  </si>
  <si>
    <t>8996982095313</t>
  </si>
  <si>
    <t>8993678822352</t>
  </si>
  <si>
    <t>8997412348306</t>
  </si>
  <si>
    <t>8999888103212</t>
  </si>
  <si>
    <t>8992283480711</t>
  </si>
  <si>
    <t>Kayu &amp; Triplek</t>
  </si>
  <si>
    <t>Paku SJT Blind Rivets</t>
  </si>
  <si>
    <t>Fitting Lampu VDR CSK-717</t>
  </si>
  <si>
    <t>Cat Evalux 961</t>
  </si>
  <si>
    <t>Cat Evalux 967</t>
  </si>
  <si>
    <t>Cat Evalux - Hitam</t>
  </si>
  <si>
    <t>Cat Evalux - Putih</t>
  </si>
  <si>
    <t>Cat Evalux 957</t>
  </si>
  <si>
    <t>Cat Evalux 974</t>
  </si>
  <si>
    <t>Cat Evalux 960</t>
  </si>
  <si>
    <t>Cat Evalux 981</t>
  </si>
  <si>
    <t>Cat Evalux 992</t>
  </si>
  <si>
    <t>Cat Evalux 959</t>
  </si>
  <si>
    <t>Cat Evalux 986</t>
  </si>
  <si>
    <t>Cat Evalux 968</t>
  </si>
  <si>
    <t>Cat Evalux 989</t>
  </si>
  <si>
    <t>Thinner B-Special 5 Liter</t>
  </si>
  <si>
    <t>Cat Fastlux FA-722</t>
  </si>
  <si>
    <t>Cat Fastlux FA-707</t>
  </si>
  <si>
    <t>Cat Asoka 947-XE</t>
  </si>
  <si>
    <t>Cat Asoka 978-XG</t>
  </si>
  <si>
    <t>Cat Asoka 938-XF</t>
  </si>
  <si>
    <t>Glass Sealant Prox 111</t>
  </si>
  <si>
    <t>Aqua Proof Beton Mix 1kg</t>
  </si>
  <si>
    <t>MU-L500 Acrybond</t>
  </si>
  <si>
    <t>Glo-Tex Paint Remover 0.8L</t>
  </si>
  <si>
    <t>Glo-Tex Paint Remover 250ml</t>
  </si>
  <si>
    <t>Cat Minyak Kuda Terbang @All</t>
  </si>
  <si>
    <t>Cat Minyak Elova 0.1L @All</t>
  </si>
  <si>
    <t>Cat ASOKA Wood &amp; Metal @All</t>
  </si>
  <si>
    <t>Cat ABC 900 Silver</t>
  </si>
  <si>
    <t>Cat ABC 902D Black Doff</t>
  </si>
  <si>
    <t>Cat ABC 991 Fancy Red</t>
  </si>
  <si>
    <t>Cat ABC 980 Clean Green</t>
  </si>
  <si>
    <t>Cat Evalux  Putih 0.85 kg</t>
  </si>
  <si>
    <t>Cat Minyak Elova 0.9L @all</t>
  </si>
  <si>
    <t>Cat Asoka 916-VL 25KG</t>
  </si>
  <si>
    <t>Cat Asoka 938-XC 25kg</t>
  </si>
  <si>
    <t>Cat ZaneMax R125  25kg</t>
  </si>
  <si>
    <t>Cat ZaneMax R116  25kg</t>
  </si>
  <si>
    <t>Cat ZaneMax R104 25kg</t>
  </si>
  <si>
    <t>Cat Evalux Putih 25kg</t>
  </si>
  <si>
    <t>8995751838588</t>
  </si>
  <si>
    <t>8997608764774</t>
  </si>
  <si>
    <t>8996199550377</t>
  </si>
  <si>
    <t>8996444396606</t>
  </si>
  <si>
    <t>8994768202696</t>
  </si>
  <si>
    <t>8996331287420</t>
  </si>
  <si>
    <t>8998975772485</t>
  </si>
  <si>
    <t>8994135485752</t>
  </si>
  <si>
    <t>8993707735745</t>
  </si>
  <si>
    <t>8995658236258</t>
  </si>
  <si>
    <t>8999950606146</t>
  </si>
  <si>
    <t>8996360192917</t>
  </si>
  <si>
    <t>8998878434558</t>
  </si>
  <si>
    <t>8994120404133</t>
  </si>
  <si>
    <t>8994887693443</t>
  </si>
  <si>
    <t>8999015689510</t>
  </si>
  <si>
    <t>8999686558399</t>
  </si>
  <si>
    <t>8994289557374</t>
  </si>
  <si>
    <t>8999044571329</t>
  </si>
  <si>
    <t>8993781119721</t>
  </si>
  <si>
    <t>8991063798534</t>
  </si>
  <si>
    <t>8992235476311</t>
  </si>
  <si>
    <t>8999457220739</t>
  </si>
  <si>
    <t>8999704774510</t>
  </si>
  <si>
    <t>8998344505171</t>
  </si>
  <si>
    <t>8994727670399</t>
  </si>
  <si>
    <t>8999768326656</t>
  </si>
  <si>
    <t>8995686599516</t>
  </si>
  <si>
    <t>8993701590227</t>
  </si>
  <si>
    <t>8998106881017</t>
  </si>
  <si>
    <t>8997084321300</t>
  </si>
  <si>
    <t>8999139457033</t>
  </si>
  <si>
    <t>8997842808043</t>
  </si>
  <si>
    <t>8996033619116</t>
  </si>
  <si>
    <t>8993442430851</t>
  </si>
  <si>
    <t>8999274528780</t>
  </si>
  <si>
    <t>8996266196507</t>
  </si>
  <si>
    <t>8996560552955</t>
  </si>
  <si>
    <t>8997194412325</t>
  </si>
  <si>
    <t>8991443047900</t>
  </si>
  <si>
    <t>8998854932290</t>
  </si>
  <si>
    <t>Paku &amp; Baut</t>
  </si>
  <si>
    <t>Wastafel American Tech Platinum Xs Black AMRT+AFUR</t>
  </si>
  <si>
    <t>Wastafel American Tech AMRT 55+AFUR</t>
  </si>
  <si>
    <t>8995216211543</t>
  </si>
  <si>
    <t>8991283933517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</si>
</sst>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4DBCC-B3AA-492E-8D6E-990AD3A12F82}">
  <dimension ref="A2:G71"/>
  <sheetViews>
    <sheetView tabSelected="1" topLeftCell="A62" workbookViewId="0">
      <selection activeCell="F72" sqref="F72"/>
    </sheetView>
  </sheetViews>
  <sheetFormatPr defaultRowHeight="15" x14ac:dyDescent="0.25"/>
  <cols>
    <col min="1" max="1" width="44.85546875" customWidth="1"/>
    <col min="2" max="2" width="24.28515625" customWidth="1"/>
    <col min="6" max="6" width="13.28515625" bestFit="1" customWidth="1"/>
  </cols>
  <sheetData>
    <row r="2" spans="1:7" x14ac:dyDescent="0.25">
      <c r="A2" t="s">
        <v>0</v>
      </c>
      <c r="B2">
        <v>123</v>
      </c>
      <c r="C2" t="s">
        <v>3</v>
      </c>
      <c r="D2" t="s">
        <v>1</v>
      </c>
      <c r="E2">
        <v>200</v>
      </c>
      <c r="F2">
        <v>30000</v>
      </c>
      <c r="G2">
        <v>50000</v>
      </c>
    </row>
    <row r="3" spans="1:7" x14ac:dyDescent="0.25">
      <c r="A3" t="s">
        <v>2</v>
      </c>
      <c r="B3">
        <v>222</v>
      </c>
      <c r="C3" t="s">
        <v>4</v>
      </c>
      <c r="D3" t="s">
        <v>5</v>
      </c>
      <c r="E3">
        <v>2900</v>
      </c>
      <c r="F3">
        <v>20000</v>
      </c>
      <c r="G3">
        <v>30000</v>
      </c>
    </row>
    <row r="4" spans="1:7" x14ac:dyDescent="0.25">
      <c r="A4" t="s">
        <v>6</v>
      </c>
      <c r="B4" t="s">
        <v>17</v>
      </c>
      <c r="C4" t="s">
        <v>28</v>
      </c>
      <c r="D4" t="s">
        <v>29</v>
      </c>
      <c r="E4">
        <v>50</v>
      </c>
      <c r="F4">
        <v>25000</v>
      </c>
      <c r="G4">
        <v>27000</v>
      </c>
    </row>
    <row r="5" spans="1:7" x14ac:dyDescent="0.25">
      <c r="A5" t="s">
        <v>7</v>
      </c>
      <c r="B5" t="s">
        <v>18</v>
      </c>
      <c r="C5" t="s">
        <v>28</v>
      </c>
      <c r="D5" t="s">
        <v>29</v>
      </c>
      <c r="E5">
        <v>50</v>
      </c>
      <c r="F5">
        <v>23000</v>
      </c>
      <c r="G5">
        <v>25000</v>
      </c>
    </row>
    <row r="6" spans="1:7" x14ac:dyDescent="0.25">
      <c r="A6" t="s">
        <v>8</v>
      </c>
      <c r="B6" t="s">
        <v>19</v>
      </c>
      <c r="C6" t="s">
        <v>3</v>
      </c>
      <c r="D6" t="s">
        <v>29</v>
      </c>
      <c r="E6">
        <v>50</v>
      </c>
      <c r="F6">
        <v>85000</v>
      </c>
      <c r="G6">
        <v>90000</v>
      </c>
    </row>
    <row r="7" spans="1:7" x14ac:dyDescent="0.25">
      <c r="A7" t="s">
        <v>9</v>
      </c>
      <c r="B7" t="s">
        <v>20</v>
      </c>
      <c r="C7" t="s">
        <v>30</v>
      </c>
      <c r="D7" t="s">
        <v>29</v>
      </c>
      <c r="E7">
        <v>50</v>
      </c>
      <c r="F7">
        <v>10000</v>
      </c>
      <c r="G7">
        <v>12000</v>
      </c>
    </row>
    <row r="8" spans="1:7" x14ac:dyDescent="0.25">
      <c r="A8" t="s">
        <v>10</v>
      </c>
      <c r="B8" t="s">
        <v>21</v>
      </c>
      <c r="C8" t="s">
        <v>30</v>
      </c>
      <c r="D8" t="s">
        <v>29</v>
      </c>
      <c r="E8">
        <v>50</v>
      </c>
      <c r="F8">
        <v>18000</v>
      </c>
      <c r="G8">
        <v>20000</v>
      </c>
    </row>
    <row r="9" spans="1:7" x14ac:dyDescent="0.25">
      <c r="A9" t="s">
        <v>11</v>
      </c>
      <c r="B9" t="s">
        <v>22</v>
      </c>
      <c r="C9" t="s">
        <v>30</v>
      </c>
      <c r="D9" t="s">
        <v>29</v>
      </c>
      <c r="E9">
        <v>50</v>
      </c>
      <c r="F9">
        <v>20000</v>
      </c>
      <c r="G9">
        <v>25000</v>
      </c>
    </row>
    <row r="10" spans="1:7" x14ac:dyDescent="0.25">
      <c r="A10" t="s">
        <v>12</v>
      </c>
      <c r="B10" t="s">
        <v>23</v>
      </c>
      <c r="C10" t="s">
        <v>30</v>
      </c>
      <c r="D10" t="s">
        <v>29</v>
      </c>
      <c r="E10">
        <v>50</v>
      </c>
      <c r="F10">
        <v>25000</v>
      </c>
      <c r="G10">
        <v>28000</v>
      </c>
    </row>
    <row r="11" spans="1:7" x14ac:dyDescent="0.25">
      <c r="A11" t="s">
        <v>13</v>
      </c>
      <c r="B11" t="s">
        <v>24</v>
      </c>
      <c r="C11" t="s">
        <v>30</v>
      </c>
      <c r="D11" t="s">
        <v>29</v>
      </c>
      <c r="E11">
        <v>50</v>
      </c>
      <c r="F11">
        <v>30000</v>
      </c>
      <c r="G11">
        <v>35000</v>
      </c>
    </row>
    <row r="12" spans="1:7" x14ac:dyDescent="0.25">
      <c r="A12" t="s">
        <v>14</v>
      </c>
      <c r="B12" t="s">
        <v>25</v>
      </c>
      <c r="C12" t="s">
        <v>31</v>
      </c>
      <c r="D12" t="s">
        <v>29</v>
      </c>
      <c r="E12">
        <v>50</v>
      </c>
      <c r="F12">
        <v>120000</v>
      </c>
      <c r="G12">
        <v>125000</v>
      </c>
    </row>
    <row r="13" spans="1:7" x14ac:dyDescent="0.25">
      <c r="A13" t="s">
        <v>15</v>
      </c>
      <c r="B13" t="s">
        <v>26</v>
      </c>
      <c r="C13" t="s">
        <v>31</v>
      </c>
      <c r="D13" t="s">
        <v>29</v>
      </c>
      <c r="E13">
        <v>50</v>
      </c>
      <c r="F13">
        <v>125000</v>
      </c>
      <c r="G13">
        <v>130000</v>
      </c>
    </row>
    <row r="14" spans="1:7" x14ac:dyDescent="0.25">
      <c r="A14" t="s">
        <v>16</v>
      </c>
      <c r="B14" t="s">
        <v>27</v>
      </c>
      <c r="C14" t="s">
        <v>30</v>
      </c>
      <c r="D14" t="s">
        <v>29</v>
      </c>
      <c r="E14">
        <v>50</v>
      </c>
      <c r="F14">
        <v>5000</v>
      </c>
      <c r="G14">
        <v>7000</v>
      </c>
    </row>
    <row r="15" spans="1:7" x14ac:dyDescent="0.25">
      <c r="A15" t="s">
        <v>32</v>
      </c>
      <c r="B15" t="s">
        <v>46</v>
      </c>
      <c r="C15" t="s">
        <v>60</v>
      </c>
      <c r="D15" t="s">
        <v>29</v>
      </c>
      <c r="E15">
        <v>20</v>
      </c>
      <c r="F15">
        <f>G15-10000</f>
        <v>255000</v>
      </c>
      <c r="G15">
        <v>265000</v>
      </c>
    </row>
    <row r="16" spans="1:7" x14ac:dyDescent="0.25">
      <c r="A16" t="s">
        <v>33</v>
      </c>
      <c r="B16" t="s">
        <v>47</v>
      </c>
      <c r="C16" t="s">
        <v>60</v>
      </c>
      <c r="D16" t="s">
        <v>29</v>
      </c>
      <c r="E16">
        <v>20</v>
      </c>
      <c r="F16">
        <f t="shared" ref="F16:F27" si="0">G16-10000</f>
        <v>365000</v>
      </c>
      <c r="G16">
        <v>375000</v>
      </c>
    </row>
    <row r="17" spans="1:7" x14ac:dyDescent="0.25">
      <c r="A17" t="s">
        <v>34</v>
      </c>
      <c r="B17" t="s">
        <v>48</v>
      </c>
      <c r="C17" t="s">
        <v>60</v>
      </c>
      <c r="D17" t="s">
        <v>29</v>
      </c>
      <c r="E17">
        <v>20</v>
      </c>
      <c r="F17">
        <f t="shared" si="0"/>
        <v>300000</v>
      </c>
      <c r="G17">
        <v>310000</v>
      </c>
    </row>
    <row r="18" spans="1:7" x14ac:dyDescent="0.25">
      <c r="A18" t="s">
        <v>35</v>
      </c>
      <c r="B18" t="s">
        <v>49</v>
      </c>
      <c r="C18" t="s">
        <v>60</v>
      </c>
      <c r="D18" t="s">
        <v>29</v>
      </c>
      <c r="E18">
        <v>20</v>
      </c>
      <c r="F18">
        <f t="shared" si="0"/>
        <v>200000</v>
      </c>
      <c r="G18">
        <v>210000</v>
      </c>
    </row>
    <row r="19" spans="1:7" x14ac:dyDescent="0.25">
      <c r="A19" t="s">
        <v>36</v>
      </c>
      <c r="B19" t="s">
        <v>50</v>
      </c>
      <c r="C19" t="s">
        <v>60</v>
      </c>
      <c r="D19" t="s">
        <v>29</v>
      </c>
      <c r="E19">
        <v>20</v>
      </c>
      <c r="F19">
        <f t="shared" si="0"/>
        <v>145000</v>
      </c>
      <c r="G19">
        <v>155000</v>
      </c>
    </row>
    <row r="20" spans="1:7" x14ac:dyDescent="0.25">
      <c r="A20" t="s">
        <v>37</v>
      </c>
      <c r="B20" t="s">
        <v>51</v>
      </c>
      <c r="C20" t="s">
        <v>60</v>
      </c>
      <c r="D20" t="s">
        <v>29</v>
      </c>
      <c r="E20">
        <v>20</v>
      </c>
      <c r="F20">
        <f t="shared" si="0"/>
        <v>85000</v>
      </c>
      <c r="G20">
        <v>95000</v>
      </c>
    </row>
    <row r="21" spans="1:7" x14ac:dyDescent="0.25">
      <c r="A21" t="s">
        <v>38</v>
      </c>
      <c r="B21" t="s">
        <v>52</v>
      </c>
      <c r="C21" t="s">
        <v>60</v>
      </c>
      <c r="D21" t="s">
        <v>29</v>
      </c>
      <c r="E21">
        <v>20</v>
      </c>
      <c r="F21">
        <f t="shared" si="0"/>
        <v>75000</v>
      </c>
      <c r="G21">
        <v>85000</v>
      </c>
    </row>
    <row r="22" spans="1:7" x14ac:dyDescent="0.25">
      <c r="A22" t="s">
        <v>39</v>
      </c>
      <c r="B22" t="s">
        <v>53</v>
      </c>
      <c r="C22" t="s">
        <v>60</v>
      </c>
      <c r="D22" t="s">
        <v>29</v>
      </c>
      <c r="E22">
        <v>20</v>
      </c>
      <c r="F22">
        <f t="shared" si="0"/>
        <v>135000</v>
      </c>
      <c r="G22">
        <v>145000</v>
      </c>
    </row>
    <row r="23" spans="1:7" x14ac:dyDescent="0.25">
      <c r="A23" t="s">
        <v>40</v>
      </c>
      <c r="B23" t="s">
        <v>54</v>
      </c>
      <c r="C23" t="s">
        <v>60</v>
      </c>
      <c r="D23" t="s">
        <v>29</v>
      </c>
      <c r="E23">
        <v>20</v>
      </c>
      <c r="F23">
        <f t="shared" si="0"/>
        <v>80000</v>
      </c>
      <c r="G23">
        <v>90000</v>
      </c>
    </row>
    <row r="24" spans="1:7" x14ac:dyDescent="0.25">
      <c r="A24" t="s">
        <v>41</v>
      </c>
      <c r="B24" t="s">
        <v>55</v>
      </c>
      <c r="C24" t="s">
        <v>30</v>
      </c>
      <c r="D24" t="s">
        <v>29</v>
      </c>
      <c r="E24">
        <v>24</v>
      </c>
      <c r="F24">
        <f t="shared" si="0"/>
        <v>2000</v>
      </c>
      <c r="G24">
        <v>12000</v>
      </c>
    </row>
    <row r="25" spans="1:7" x14ac:dyDescent="0.25">
      <c r="A25" t="s">
        <v>42</v>
      </c>
      <c r="B25" t="s">
        <v>56</v>
      </c>
      <c r="C25" t="s">
        <v>31</v>
      </c>
      <c r="D25" t="s">
        <v>29</v>
      </c>
      <c r="E25">
        <v>4</v>
      </c>
      <c r="F25">
        <f t="shared" si="0"/>
        <v>640000</v>
      </c>
      <c r="G25">
        <v>650000</v>
      </c>
    </row>
    <row r="26" spans="1:7" x14ac:dyDescent="0.25">
      <c r="A26" t="s">
        <v>43</v>
      </c>
      <c r="B26" t="s">
        <v>57</v>
      </c>
      <c r="C26" t="s">
        <v>30</v>
      </c>
      <c r="D26" t="s">
        <v>29</v>
      </c>
      <c r="E26">
        <v>1</v>
      </c>
      <c r="F26">
        <f t="shared" si="0"/>
        <v>30000</v>
      </c>
      <c r="G26">
        <v>40000</v>
      </c>
    </row>
    <row r="27" spans="1:7" x14ac:dyDescent="0.25">
      <c r="A27" t="s">
        <v>44</v>
      </c>
      <c r="B27" t="s">
        <v>58</v>
      </c>
      <c r="C27" t="s">
        <v>30</v>
      </c>
      <c r="D27" t="s">
        <v>29</v>
      </c>
      <c r="E27">
        <v>3</v>
      </c>
      <c r="F27">
        <f t="shared" si="0"/>
        <v>38000</v>
      </c>
      <c r="G27">
        <v>48000</v>
      </c>
    </row>
    <row r="28" spans="1:7" x14ac:dyDescent="0.25">
      <c r="A28" t="s">
        <v>45</v>
      </c>
      <c r="B28" t="s">
        <v>59</v>
      </c>
      <c r="C28" t="s">
        <v>30</v>
      </c>
      <c r="D28" t="s">
        <v>29</v>
      </c>
      <c r="E28">
        <v>20</v>
      </c>
      <c r="F28">
        <f>G28*0.8</f>
        <v>16000</v>
      </c>
      <c r="G28">
        <v>20000</v>
      </c>
    </row>
    <row r="29" spans="1:7" x14ac:dyDescent="0.25">
      <c r="A29" t="s">
        <v>61</v>
      </c>
      <c r="B29" t="s">
        <v>102</v>
      </c>
      <c r="C29" t="s">
        <v>143</v>
      </c>
      <c r="D29" t="s">
        <v>29</v>
      </c>
      <c r="E29">
        <v>25</v>
      </c>
      <c r="F29">
        <f t="shared" ref="F29:F69" si="1">G29*0.8</f>
        <v>60000</v>
      </c>
      <c r="G29">
        <v>75000</v>
      </c>
    </row>
    <row r="30" spans="1:7" x14ac:dyDescent="0.25">
      <c r="A30" t="s">
        <v>62</v>
      </c>
      <c r="B30" t="s">
        <v>103</v>
      </c>
      <c r="C30" t="s">
        <v>30</v>
      </c>
      <c r="D30" t="s">
        <v>29</v>
      </c>
      <c r="E30">
        <v>25</v>
      </c>
      <c r="F30">
        <f t="shared" si="1"/>
        <v>12000</v>
      </c>
      <c r="G30">
        <v>15000</v>
      </c>
    </row>
    <row r="31" spans="1:7" x14ac:dyDescent="0.25">
      <c r="A31" t="s">
        <v>63</v>
      </c>
      <c r="B31" t="s">
        <v>104</v>
      </c>
      <c r="C31" t="s">
        <v>28</v>
      </c>
      <c r="D31" t="s">
        <v>29</v>
      </c>
      <c r="E31">
        <v>25</v>
      </c>
      <c r="F31">
        <f t="shared" si="1"/>
        <v>52000</v>
      </c>
      <c r="G31">
        <v>65000</v>
      </c>
    </row>
    <row r="32" spans="1:7" x14ac:dyDescent="0.25">
      <c r="A32" t="s">
        <v>64</v>
      </c>
      <c r="B32" t="s">
        <v>105</v>
      </c>
      <c r="C32" t="s">
        <v>28</v>
      </c>
      <c r="D32" t="s">
        <v>29</v>
      </c>
      <c r="E32">
        <v>25</v>
      </c>
      <c r="F32">
        <f t="shared" si="1"/>
        <v>52000</v>
      </c>
      <c r="G32">
        <v>65000</v>
      </c>
    </row>
    <row r="33" spans="1:7" x14ac:dyDescent="0.25">
      <c r="A33" t="s">
        <v>65</v>
      </c>
      <c r="B33" t="s">
        <v>106</v>
      </c>
      <c r="C33" t="s">
        <v>28</v>
      </c>
      <c r="D33" t="s">
        <v>29</v>
      </c>
      <c r="E33">
        <v>25</v>
      </c>
      <c r="F33">
        <f t="shared" si="1"/>
        <v>68000</v>
      </c>
      <c r="G33">
        <v>85000</v>
      </c>
    </row>
    <row r="34" spans="1:7" x14ac:dyDescent="0.25">
      <c r="A34" t="s">
        <v>66</v>
      </c>
      <c r="B34" t="s">
        <v>107</v>
      </c>
      <c r="C34" t="s">
        <v>28</v>
      </c>
      <c r="D34" t="s">
        <v>29</v>
      </c>
      <c r="E34">
        <v>25</v>
      </c>
      <c r="F34">
        <f t="shared" si="1"/>
        <v>52000</v>
      </c>
      <c r="G34">
        <v>65000</v>
      </c>
    </row>
    <row r="35" spans="1:7" x14ac:dyDescent="0.25">
      <c r="A35" t="s">
        <v>67</v>
      </c>
      <c r="B35" t="s">
        <v>108</v>
      </c>
      <c r="C35" t="s">
        <v>28</v>
      </c>
      <c r="D35" t="s">
        <v>29</v>
      </c>
      <c r="E35">
        <v>25</v>
      </c>
      <c r="F35">
        <f t="shared" si="1"/>
        <v>52000</v>
      </c>
      <c r="G35">
        <v>65000</v>
      </c>
    </row>
    <row r="36" spans="1:7" x14ac:dyDescent="0.25">
      <c r="A36" t="s">
        <v>68</v>
      </c>
      <c r="B36" t="s">
        <v>109</v>
      </c>
      <c r="C36" t="s">
        <v>28</v>
      </c>
      <c r="D36" t="s">
        <v>29</v>
      </c>
      <c r="E36">
        <v>25</v>
      </c>
      <c r="F36">
        <f t="shared" si="1"/>
        <v>72000</v>
      </c>
      <c r="G36">
        <v>90000</v>
      </c>
    </row>
    <row r="37" spans="1:7" x14ac:dyDescent="0.25">
      <c r="A37" t="s">
        <v>69</v>
      </c>
      <c r="B37" t="s">
        <v>110</v>
      </c>
      <c r="C37" t="s">
        <v>28</v>
      </c>
      <c r="D37" t="s">
        <v>29</v>
      </c>
      <c r="E37">
        <v>25</v>
      </c>
      <c r="F37">
        <f t="shared" si="1"/>
        <v>68000</v>
      </c>
      <c r="G37">
        <v>85000</v>
      </c>
    </row>
    <row r="38" spans="1:7" x14ac:dyDescent="0.25">
      <c r="A38" t="s">
        <v>70</v>
      </c>
      <c r="B38" t="s">
        <v>111</v>
      </c>
      <c r="C38" t="s">
        <v>28</v>
      </c>
      <c r="D38" t="s">
        <v>29</v>
      </c>
      <c r="E38">
        <v>25</v>
      </c>
      <c r="F38">
        <f t="shared" si="1"/>
        <v>80000</v>
      </c>
      <c r="G38">
        <v>100000</v>
      </c>
    </row>
    <row r="39" spans="1:7" x14ac:dyDescent="0.25">
      <c r="A39" t="s">
        <v>71</v>
      </c>
      <c r="B39" t="s">
        <v>112</v>
      </c>
      <c r="C39" t="s">
        <v>28</v>
      </c>
      <c r="D39" t="s">
        <v>29</v>
      </c>
      <c r="E39">
        <v>25</v>
      </c>
      <c r="F39">
        <f t="shared" si="1"/>
        <v>52000</v>
      </c>
      <c r="G39">
        <v>65000</v>
      </c>
    </row>
    <row r="40" spans="1:7" x14ac:dyDescent="0.25">
      <c r="A40" t="s">
        <v>72</v>
      </c>
      <c r="B40" t="s">
        <v>113</v>
      </c>
      <c r="C40" t="s">
        <v>28</v>
      </c>
      <c r="D40" t="s">
        <v>29</v>
      </c>
      <c r="E40">
        <v>25</v>
      </c>
      <c r="F40">
        <f t="shared" si="1"/>
        <v>52000</v>
      </c>
      <c r="G40">
        <v>65000</v>
      </c>
    </row>
    <row r="41" spans="1:7" x14ac:dyDescent="0.25">
      <c r="A41" t="s">
        <v>73</v>
      </c>
      <c r="B41" t="s">
        <v>114</v>
      </c>
      <c r="C41" t="s">
        <v>28</v>
      </c>
      <c r="D41" t="s">
        <v>29</v>
      </c>
      <c r="E41">
        <v>25</v>
      </c>
      <c r="F41">
        <f t="shared" si="1"/>
        <v>68000</v>
      </c>
      <c r="G41">
        <v>85000</v>
      </c>
    </row>
    <row r="42" spans="1:7" x14ac:dyDescent="0.25">
      <c r="A42" t="s">
        <v>74</v>
      </c>
      <c r="B42" t="s">
        <v>115</v>
      </c>
      <c r="C42" t="s">
        <v>28</v>
      </c>
      <c r="D42" t="s">
        <v>29</v>
      </c>
      <c r="E42">
        <v>25</v>
      </c>
      <c r="F42">
        <f t="shared" si="1"/>
        <v>52000</v>
      </c>
      <c r="G42">
        <v>65000</v>
      </c>
    </row>
    <row r="43" spans="1:7" x14ac:dyDescent="0.25">
      <c r="A43" t="s">
        <v>75</v>
      </c>
      <c r="B43" t="s">
        <v>116</v>
      </c>
      <c r="C43" t="s">
        <v>28</v>
      </c>
      <c r="D43" t="s">
        <v>29</v>
      </c>
      <c r="E43">
        <v>25</v>
      </c>
      <c r="F43">
        <f t="shared" si="1"/>
        <v>60000</v>
      </c>
      <c r="G43">
        <v>75000</v>
      </c>
    </row>
    <row r="44" spans="1:7" x14ac:dyDescent="0.25">
      <c r="A44" t="s">
        <v>76</v>
      </c>
      <c r="B44" t="s">
        <v>117</v>
      </c>
      <c r="C44" t="s">
        <v>28</v>
      </c>
      <c r="D44" t="s">
        <v>29</v>
      </c>
      <c r="E44">
        <v>25</v>
      </c>
      <c r="F44">
        <f t="shared" si="1"/>
        <v>112000</v>
      </c>
      <c r="G44">
        <v>140000</v>
      </c>
    </row>
    <row r="45" spans="1:7" x14ac:dyDescent="0.25">
      <c r="A45" t="s">
        <v>77</v>
      </c>
      <c r="B45" t="s">
        <v>118</v>
      </c>
      <c r="C45" t="s">
        <v>28</v>
      </c>
      <c r="D45" t="s">
        <v>29</v>
      </c>
      <c r="E45">
        <v>25</v>
      </c>
      <c r="F45">
        <f t="shared" si="1"/>
        <v>76000</v>
      </c>
      <c r="G45">
        <v>95000</v>
      </c>
    </row>
    <row r="46" spans="1:7" x14ac:dyDescent="0.25">
      <c r="A46" t="s">
        <v>78</v>
      </c>
      <c r="B46" t="s">
        <v>119</v>
      </c>
      <c r="C46" t="s">
        <v>28</v>
      </c>
      <c r="D46" t="s">
        <v>29</v>
      </c>
      <c r="E46">
        <v>25</v>
      </c>
      <c r="F46">
        <f t="shared" si="1"/>
        <v>76000</v>
      </c>
      <c r="G46">
        <v>95000</v>
      </c>
    </row>
    <row r="47" spans="1:7" x14ac:dyDescent="0.25">
      <c r="A47" t="s">
        <v>79</v>
      </c>
      <c r="B47" t="s">
        <v>120</v>
      </c>
      <c r="C47" t="s">
        <v>28</v>
      </c>
      <c r="D47" t="s">
        <v>29</v>
      </c>
      <c r="E47">
        <v>25</v>
      </c>
      <c r="F47">
        <f t="shared" si="1"/>
        <v>68000</v>
      </c>
      <c r="G47">
        <v>85000</v>
      </c>
    </row>
    <row r="48" spans="1:7" x14ac:dyDescent="0.25">
      <c r="A48" t="s">
        <v>80</v>
      </c>
      <c r="B48" t="s">
        <v>121</v>
      </c>
      <c r="C48" t="s">
        <v>28</v>
      </c>
      <c r="D48" t="s">
        <v>29</v>
      </c>
      <c r="E48">
        <v>25</v>
      </c>
      <c r="F48">
        <f t="shared" si="1"/>
        <v>68000</v>
      </c>
      <c r="G48">
        <v>85000</v>
      </c>
    </row>
    <row r="49" spans="1:7" x14ac:dyDescent="0.25">
      <c r="A49" t="s">
        <v>81</v>
      </c>
      <c r="B49" t="s">
        <v>122</v>
      </c>
      <c r="C49" t="s">
        <v>28</v>
      </c>
      <c r="D49" t="s">
        <v>29</v>
      </c>
      <c r="E49">
        <v>25</v>
      </c>
      <c r="F49">
        <f t="shared" si="1"/>
        <v>68000</v>
      </c>
      <c r="G49">
        <v>85000</v>
      </c>
    </row>
    <row r="50" spans="1:7" x14ac:dyDescent="0.25">
      <c r="A50" t="s">
        <v>82</v>
      </c>
      <c r="B50" t="s">
        <v>123</v>
      </c>
      <c r="C50" t="s">
        <v>31</v>
      </c>
      <c r="D50" t="s">
        <v>29</v>
      </c>
      <c r="E50">
        <v>25</v>
      </c>
      <c r="F50">
        <f t="shared" si="1"/>
        <v>28000</v>
      </c>
      <c r="G50">
        <v>35000</v>
      </c>
    </row>
    <row r="51" spans="1:7" x14ac:dyDescent="0.25">
      <c r="A51" t="s">
        <v>83</v>
      </c>
      <c r="B51" t="s">
        <v>124</v>
      </c>
      <c r="C51" t="s">
        <v>28</v>
      </c>
      <c r="D51" t="s">
        <v>29</v>
      </c>
      <c r="E51">
        <v>25</v>
      </c>
      <c r="F51">
        <f t="shared" si="1"/>
        <v>44000</v>
      </c>
      <c r="G51">
        <v>55000</v>
      </c>
    </row>
    <row r="52" spans="1:7" x14ac:dyDescent="0.25">
      <c r="A52" t="s">
        <v>84</v>
      </c>
      <c r="B52" t="s">
        <v>125</v>
      </c>
      <c r="C52" t="s">
        <v>28</v>
      </c>
      <c r="D52" t="s">
        <v>29</v>
      </c>
      <c r="E52">
        <v>25</v>
      </c>
      <c r="F52">
        <f t="shared" si="1"/>
        <v>44000</v>
      </c>
      <c r="G52">
        <v>55000</v>
      </c>
    </row>
    <row r="53" spans="1:7" x14ac:dyDescent="0.25">
      <c r="A53" t="s">
        <v>85</v>
      </c>
      <c r="B53" t="s">
        <v>126</v>
      </c>
      <c r="C53" t="s">
        <v>28</v>
      </c>
      <c r="D53" t="s">
        <v>29</v>
      </c>
      <c r="E53">
        <v>25</v>
      </c>
      <c r="F53">
        <f t="shared" si="1"/>
        <v>80000</v>
      </c>
      <c r="G53">
        <v>100000</v>
      </c>
    </row>
    <row r="54" spans="1:7" x14ac:dyDescent="0.25">
      <c r="A54" t="s">
        <v>86</v>
      </c>
      <c r="B54" t="s">
        <v>127</v>
      </c>
      <c r="C54" t="s">
        <v>28</v>
      </c>
      <c r="D54" t="s">
        <v>29</v>
      </c>
      <c r="E54">
        <v>25</v>
      </c>
      <c r="F54">
        <f t="shared" si="1"/>
        <v>36000</v>
      </c>
      <c r="G54">
        <v>45000</v>
      </c>
    </row>
    <row r="55" spans="1:7" x14ac:dyDescent="0.25">
      <c r="A55" t="s">
        <v>87</v>
      </c>
      <c r="B55" t="s">
        <v>128</v>
      </c>
      <c r="C55" t="s">
        <v>28</v>
      </c>
      <c r="D55" t="s">
        <v>29</v>
      </c>
      <c r="E55">
        <v>25</v>
      </c>
      <c r="F55">
        <f t="shared" si="1"/>
        <v>16000</v>
      </c>
      <c r="G55">
        <v>20000</v>
      </c>
    </row>
    <row r="56" spans="1:7" x14ac:dyDescent="0.25">
      <c r="A56" t="s">
        <v>88</v>
      </c>
      <c r="B56" t="s">
        <v>129</v>
      </c>
      <c r="C56" t="s">
        <v>28</v>
      </c>
      <c r="D56" t="s">
        <v>29</v>
      </c>
      <c r="E56">
        <v>25</v>
      </c>
      <c r="F56">
        <f t="shared" si="1"/>
        <v>16000</v>
      </c>
      <c r="G56">
        <v>20000</v>
      </c>
    </row>
    <row r="57" spans="1:7" x14ac:dyDescent="0.25">
      <c r="A57" t="s">
        <v>89</v>
      </c>
      <c r="B57" t="s">
        <v>130</v>
      </c>
      <c r="C57" t="s">
        <v>28</v>
      </c>
      <c r="D57" t="s">
        <v>29</v>
      </c>
      <c r="E57">
        <v>25</v>
      </c>
      <c r="F57">
        <f t="shared" si="1"/>
        <v>56000</v>
      </c>
      <c r="G57">
        <v>70000</v>
      </c>
    </row>
    <row r="58" spans="1:7" x14ac:dyDescent="0.25">
      <c r="A58" t="s">
        <v>90</v>
      </c>
      <c r="B58" t="s">
        <v>131</v>
      </c>
      <c r="C58" t="s">
        <v>28</v>
      </c>
      <c r="D58" t="s">
        <v>29</v>
      </c>
      <c r="E58">
        <v>25</v>
      </c>
      <c r="F58">
        <f t="shared" si="1"/>
        <v>64000</v>
      </c>
      <c r="G58">
        <v>80000</v>
      </c>
    </row>
    <row r="59" spans="1:7" x14ac:dyDescent="0.25">
      <c r="A59" t="s">
        <v>91</v>
      </c>
      <c r="B59" t="s">
        <v>132</v>
      </c>
      <c r="C59" t="s">
        <v>28</v>
      </c>
      <c r="D59" t="s">
        <v>29</v>
      </c>
      <c r="E59">
        <v>25</v>
      </c>
      <c r="F59">
        <f t="shared" si="1"/>
        <v>60000</v>
      </c>
      <c r="G59">
        <v>75000</v>
      </c>
    </row>
    <row r="60" spans="1:7" x14ac:dyDescent="0.25">
      <c r="A60" t="s">
        <v>92</v>
      </c>
      <c r="B60" t="s">
        <v>133</v>
      </c>
      <c r="C60" t="s">
        <v>28</v>
      </c>
      <c r="D60" t="s">
        <v>29</v>
      </c>
      <c r="E60">
        <v>25</v>
      </c>
      <c r="F60">
        <f t="shared" si="1"/>
        <v>60000</v>
      </c>
      <c r="G60">
        <v>75000</v>
      </c>
    </row>
    <row r="61" spans="1:7" x14ac:dyDescent="0.25">
      <c r="A61" t="s">
        <v>93</v>
      </c>
      <c r="B61" t="s">
        <v>134</v>
      </c>
      <c r="C61" t="s">
        <v>28</v>
      </c>
      <c r="D61" t="s">
        <v>29</v>
      </c>
      <c r="E61">
        <v>25</v>
      </c>
      <c r="F61">
        <f t="shared" si="1"/>
        <v>60000</v>
      </c>
      <c r="G61">
        <v>75000</v>
      </c>
    </row>
    <row r="62" spans="1:7" x14ac:dyDescent="0.25">
      <c r="A62" t="s">
        <v>94</v>
      </c>
      <c r="B62" t="s">
        <v>135</v>
      </c>
      <c r="C62" t="s">
        <v>28</v>
      </c>
      <c r="D62" t="s">
        <v>29</v>
      </c>
      <c r="E62">
        <v>25</v>
      </c>
      <c r="F62">
        <f t="shared" si="1"/>
        <v>18400</v>
      </c>
      <c r="G62">
        <v>23000</v>
      </c>
    </row>
    <row r="63" spans="1:7" x14ac:dyDescent="0.25">
      <c r="A63" t="s">
        <v>95</v>
      </c>
      <c r="B63" t="s">
        <v>136</v>
      </c>
      <c r="C63" t="s">
        <v>28</v>
      </c>
      <c r="D63" t="s">
        <v>29</v>
      </c>
      <c r="E63">
        <v>25</v>
      </c>
      <c r="F63">
        <f t="shared" si="1"/>
        <v>60000</v>
      </c>
      <c r="G63">
        <v>75000</v>
      </c>
    </row>
    <row r="64" spans="1:7" x14ac:dyDescent="0.25">
      <c r="A64" t="s">
        <v>96</v>
      </c>
      <c r="B64" t="s">
        <v>137</v>
      </c>
      <c r="C64" t="s">
        <v>28</v>
      </c>
      <c r="D64" t="s">
        <v>29</v>
      </c>
      <c r="E64">
        <v>25</v>
      </c>
      <c r="F64">
        <f t="shared" si="1"/>
        <v>368000</v>
      </c>
      <c r="G64">
        <v>460000</v>
      </c>
    </row>
    <row r="65" spans="1:7" x14ac:dyDescent="0.25">
      <c r="A65" t="s">
        <v>97</v>
      </c>
      <c r="B65" t="s">
        <v>138</v>
      </c>
      <c r="C65" t="s">
        <v>28</v>
      </c>
      <c r="D65" t="s">
        <v>29</v>
      </c>
      <c r="E65">
        <v>25</v>
      </c>
      <c r="F65">
        <f t="shared" si="1"/>
        <v>368000</v>
      </c>
      <c r="G65">
        <v>460000</v>
      </c>
    </row>
    <row r="66" spans="1:7" x14ac:dyDescent="0.25">
      <c r="A66" t="s">
        <v>98</v>
      </c>
      <c r="B66" t="s">
        <v>139</v>
      </c>
      <c r="C66" t="s">
        <v>28</v>
      </c>
      <c r="D66" t="s">
        <v>29</v>
      </c>
      <c r="E66">
        <v>25</v>
      </c>
      <c r="F66">
        <f t="shared" si="1"/>
        <v>336000</v>
      </c>
      <c r="G66">
        <v>420000</v>
      </c>
    </row>
    <row r="67" spans="1:7" x14ac:dyDescent="0.25">
      <c r="A67" t="s">
        <v>99</v>
      </c>
      <c r="B67" t="s">
        <v>140</v>
      </c>
      <c r="C67" t="s">
        <v>28</v>
      </c>
      <c r="D67" t="s">
        <v>29</v>
      </c>
      <c r="E67">
        <v>25</v>
      </c>
      <c r="F67">
        <f t="shared" si="1"/>
        <v>312000</v>
      </c>
      <c r="G67">
        <v>390000</v>
      </c>
    </row>
    <row r="68" spans="1:7" x14ac:dyDescent="0.25">
      <c r="A68" t="s">
        <v>100</v>
      </c>
      <c r="B68" t="s">
        <v>141</v>
      </c>
      <c r="C68" t="s">
        <v>28</v>
      </c>
      <c r="D68" t="s">
        <v>29</v>
      </c>
      <c r="E68">
        <v>25</v>
      </c>
      <c r="F68">
        <f t="shared" si="1"/>
        <v>312000</v>
      </c>
      <c r="G68">
        <v>390000</v>
      </c>
    </row>
    <row r="69" spans="1:7" x14ac:dyDescent="0.25">
      <c r="A69" t="s">
        <v>101</v>
      </c>
      <c r="B69" t="s">
        <v>142</v>
      </c>
      <c r="C69" t="s">
        <v>28</v>
      </c>
      <c r="D69" t="s">
        <v>29</v>
      </c>
      <c r="E69">
        <v>25</v>
      </c>
      <c r="F69">
        <f t="shared" si="1"/>
        <v>200000</v>
      </c>
      <c r="G69">
        <v>250000</v>
      </c>
    </row>
    <row r="70" spans="1:7" x14ac:dyDescent="0.25">
      <c r="A70" t="s">
        <v>144</v>
      </c>
      <c r="B70" t="s">
        <v>146</v>
      </c>
      <c r="C70" t="s">
        <v>31</v>
      </c>
      <c r="D70" t="s">
        <v>29</v>
      </c>
      <c r="E70">
        <v>3</v>
      </c>
      <c r="F70">
        <v>1000000</v>
      </c>
      <c r="G70">
        <v>1300000</v>
      </c>
    </row>
    <row r="71" spans="1:7" x14ac:dyDescent="0.25">
      <c r="A71" t="s">
        <v>145</v>
      </c>
      <c r="B71" t="s">
        <v>147</v>
      </c>
      <c r="C71" t="s">
        <v>31</v>
      </c>
      <c r="D71" t="s">
        <v>29</v>
      </c>
      <c r="E71">
        <v>3</v>
      </c>
      <c r="F71">
        <v>690000</v>
      </c>
      <c r="G71">
        <v>1020000</v>
      </c>
    </row>
  </sheetData>
  <dataValidations count="2">
    <dataValidation type="list" allowBlank="1" showInputMessage="1" showErrorMessage="1" promptTitle="Pilih Kategori" prompt="Kategori_x000a__x000a_Besi &amp; Baja_x000a_Semen &amp; Material_x000a_Kayu &amp; Triplek_x000a_Pipa &amp; Fitting_x000a_Cat &amp; Pelapis_x000a_Alat Listrik_x000a_Alat Tangan_x000a_Alat Berat_x000a_Tali &amp; Kawat_x000a_Paku &amp; Baut_x000a_Keramik &amp; Granit_x000a_Lainnya" sqref="C2:C71" xr:uid="{7BF18CDF-981D-43E4-BCA5-C88FB25C0174}">
      <formula1>"Besi &amp; Baja,Semen &amp; Material,Kayu &amp; Triplek,Pipa &amp; Fitting,Cat &amp; Pelapis,Alat Listrik,Alat Tangan,Alat Berat,Tali &amp; Kawat,Paku &amp; Baut,Keramik &amp; Granit,Lainnya"</formula1>
    </dataValidation>
    <dataValidation type="list" allowBlank="1" showInputMessage="1" showErrorMessage="1" promptTitle="Pilih Jenis Satuan" prompt="Satuan_x000a__x000a_pcs_x000a_kg_x000a_meter_x000a_liter_x000a_roll_x000a_box_x000a_sack_x000a_sheet" sqref="D2:D71" xr:uid="{3564DCCE-EE76-422F-991B-1DED858B18E5}">
      <formula1>"pcs,kg,meter,liter,roll,box,sack,sheet"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yafi</dc:creator>
  <cp:lastModifiedBy>Al yafi</cp:lastModifiedBy>
  <dcterms:created xsi:type="dcterms:W3CDTF">2026-06-07T13:47:54Z</dcterms:created>
  <dcterms:modified xsi:type="dcterms:W3CDTF">2026-06-10T05:17:05Z</dcterms:modified>
</cp:coreProperties>
</file>